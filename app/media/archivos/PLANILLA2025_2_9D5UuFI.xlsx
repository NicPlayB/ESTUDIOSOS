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\Downloads\"/>
    </mc:Choice>
  </mc:AlternateContent>
  <xr:revisionPtr revIDLastSave="0" documentId="13_ncr:1_{6CD687DE-7921-42B4-AD1A-1C93DB855575}" xr6:coauthVersionLast="47" xr6:coauthVersionMax="47" xr10:uidLastSave="{00000000-0000-0000-0000-000000000000}"/>
  <bookViews>
    <workbookView xWindow="-120" yWindow="-120" windowWidth="29040" windowHeight="15840" xr2:uid="{07F6B563-5006-4109-9757-47880228743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5" i="1"/>
  <c r="A16" i="1" s="1"/>
  <c r="A17" i="1" s="1"/>
</calcChain>
</file>

<file path=xl/sharedStrings.xml><?xml version="1.0" encoding="utf-8"?>
<sst xmlns="http://schemas.openxmlformats.org/spreadsheetml/2006/main" count="124" uniqueCount="92">
  <si>
    <t>No</t>
  </si>
  <si>
    <t>TPO DE DOC.</t>
  </si>
  <si>
    <t>CEDULA</t>
  </si>
  <si>
    <t>"APELLIDO"</t>
  </si>
  <si>
    <t>"NOMBRES"</t>
  </si>
  <si>
    <t>CARGO</t>
  </si>
  <si>
    <t>FECHA DE INGRESO</t>
  </si>
  <si>
    <t>CC</t>
  </si>
  <si>
    <t>JORGE EDUARDO</t>
  </si>
  <si>
    <t>AYUDANTE DE OBRA</t>
  </si>
  <si>
    <t>BALLESTEROS CORREA</t>
  </si>
  <si>
    <t>OFICIAL DE OBRA</t>
  </si>
  <si>
    <t>CASTILLO TORRES</t>
  </si>
  <si>
    <t>JOSE ANGEL</t>
  </si>
  <si>
    <t xml:space="preserve">DEIMER ANDRES </t>
  </si>
  <si>
    <t xml:space="preserve">AYUDANTE DE OBRA </t>
  </si>
  <si>
    <t>OSORIO MENDOZA</t>
  </si>
  <si>
    <t>FREDDY IVAN</t>
  </si>
  <si>
    <t xml:space="preserve">CARLOS EFREN </t>
  </si>
  <si>
    <t>QUIJANO AVENDAÑO</t>
  </si>
  <si>
    <t>JORGE ANDRES</t>
  </si>
  <si>
    <t>SOACHE DIAZ</t>
  </si>
  <si>
    <t xml:space="preserve">ANDRES </t>
  </si>
  <si>
    <t>JOSE LUIS</t>
  </si>
  <si>
    <t xml:space="preserve">HERNANDEZ HERNANDEZ </t>
  </si>
  <si>
    <t>ABERTO MENDOZA</t>
  </si>
  <si>
    <t>BUITRAGO GOMEZ</t>
  </si>
  <si>
    <t xml:space="preserve">SOLORZANO ACOSTA </t>
  </si>
  <si>
    <t>CARLOS</t>
  </si>
  <si>
    <t>CANTIDAD</t>
  </si>
  <si>
    <t>RODRIGUEZ ROMULO</t>
  </si>
  <si>
    <t>MORENO CASALLAS</t>
  </si>
  <si>
    <t>FRAIDER</t>
  </si>
  <si>
    <t>YOVANY</t>
  </si>
  <si>
    <t>RUIZ CONTRERAS</t>
  </si>
  <si>
    <t xml:space="preserve">OLSON ANTONIO </t>
  </si>
  <si>
    <t>DANIEL ENRRIQUE</t>
  </si>
  <si>
    <t>PEREZ GALVIS</t>
  </si>
  <si>
    <t>26/06/20255</t>
  </si>
  <si>
    <t>MORA RAMIREZ</t>
  </si>
  <si>
    <t>MARIO DE JESUS</t>
  </si>
  <si>
    <t>FECHA DE PAGO</t>
  </si>
  <si>
    <t>FECHA</t>
  </si>
  <si>
    <t xml:space="preserve">CANTIDAD                                          </t>
  </si>
  <si>
    <t xml:space="preserve">CANTIDAD                   </t>
  </si>
  <si>
    <t xml:space="preserve">CANTIDAD         </t>
  </si>
  <si>
    <t xml:space="preserve">CANTIDAD    </t>
  </si>
  <si>
    <t xml:space="preserve">FECHA </t>
  </si>
  <si>
    <t xml:space="preserve">FECHA        </t>
  </si>
  <si>
    <t xml:space="preserve">FECHA                                 </t>
  </si>
  <si>
    <t xml:space="preserve">FECHA                   </t>
  </si>
  <si>
    <t xml:space="preserve">FECHA                                                    </t>
  </si>
  <si>
    <t xml:space="preserve">CANTIDAD                                      </t>
  </si>
  <si>
    <t xml:space="preserve">CANTIDAD                              </t>
  </si>
  <si>
    <t xml:space="preserve">FECHA  </t>
  </si>
  <si>
    <t xml:space="preserve">CANTIDAD      </t>
  </si>
  <si>
    <t xml:space="preserve">FECHA                    </t>
  </si>
  <si>
    <t xml:space="preserve">CANTIDAD           </t>
  </si>
  <si>
    <t xml:space="preserve">FECHA       </t>
  </si>
  <si>
    <t xml:space="preserve">CANTIDAD             </t>
  </si>
  <si>
    <t xml:space="preserve">FECHA    </t>
  </si>
  <si>
    <t xml:space="preserve">CANTIDAD  </t>
  </si>
  <si>
    <t xml:space="preserve">FECHA           </t>
  </si>
  <si>
    <t xml:space="preserve">CANTIDAD     </t>
  </si>
  <si>
    <t>FECHA2</t>
  </si>
  <si>
    <t>FECHA3</t>
  </si>
  <si>
    <t>FECHA4</t>
  </si>
  <si>
    <t>FECHA5</t>
  </si>
  <si>
    <t>FECHA6</t>
  </si>
  <si>
    <t>FECHA7</t>
  </si>
  <si>
    <t xml:space="preserve">VELANDIA GOMEZ </t>
  </si>
  <si>
    <t xml:space="preserve">JUAN TOMAS </t>
  </si>
  <si>
    <t>CANTIDAD2</t>
  </si>
  <si>
    <t>CANTIDAD3</t>
  </si>
  <si>
    <t>CANTIDAD4</t>
  </si>
  <si>
    <t>CANTIDAD       3</t>
  </si>
  <si>
    <t>FECHA 2</t>
  </si>
  <si>
    <t>CANTIDAD5</t>
  </si>
  <si>
    <t>CANTIDAD6</t>
  </si>
  <si>
    <t>JOSE QUILLERMO</t>
  </si>
  <si>
    <t>REY CARRILLO</t>
  </si>
  <si>
    <t>FECHA 3</t>
  </si>
  <si>
    <t xml:space="preserve">CANTIDAD   </t>
  </si>
  <si>
    <t>CANTIDAD7</t>
  </si>
  <si>
    <t>CANTIDAD8</t>
  </si>
  <si>
    <t>CANTIDAD9</t>
  </si>
  <si>
    <t>FECHA8</t>
  </si>
  <si>
    <t>FECHA52</t>
  </si>
  <si>
    <t>CANTIDAD93</t>
  </si>
  <si>
    <t>FECHA84</t>
  </si>
  <si>
    <t>CANTIDAD10</t>
  </si>
  <si>
    <t>CANTIDAD11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</si>
</sst>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 $]#,##0"/>
    <numFmt numFmtId="165" formatCode="&quot;$&quot;\ #,##0.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9"/>
      <color rgb="FF000000"/>
      <name val="Times New Roman"/>
      <charset val="134"/>
    </font>
    <font>
      <sz val="11"/>
      <color rgb="FF000000"/>
      <name val="Aptos Estrechos"/>
      <charset val="134"/>
    </font>
    <font>
      <sz val="11"/>
      <color theme="7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7" tint="-0.249977111117893"/>
      <name val="Aptos Estrechos"/>
      <charset val="134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1" fontId="3" fillId="2" borderId="1" xfId="2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165" fontId="5" fillId="3" borderId="1" xfId="0" applyNumberFormat="1" applyFont="1" applyFill="1" applyBorder="1"/>
    <xf numFmtId="14" fontId="4" fillId="3" borderId="1" xfId="1" applyNumberFormat="1" applyFont="1" applyFill="1" applyBorder="1" applyAlignment="1">
      <alignment horizontal="right"/>
    </xf>
    <xf numFmtId="14" fontId="4" fillId="0" borderId="1" xfId="1" applyNumberFormat="1" applyFont="1" applyBorder="1" applyAlignment="1">
      <alignment horizontal="right"/>
    </xf>
    <xf numFmtId="165" fontId="5" fillId="0" borderId="1" xfId="0" applyNumberFormat="1" applyFont="1" applyBorder="1"/>
    <xf numFmtId="14" fontId="4" fillId="0" borderId="1" xfId="1" applyNumberFormat="1" applyFont="1" applyFill="1" applyBorder="1" applyAlignment="1">
      <alignment horizontal="right"/>
    </xf>
    <xf numFmtId="0" fontId="3" fillId="2" borderId="2" xfId="2" applyFont="1" applyFill="1" applyBorder="1" applyAlignment="1">
      <alignment horizontal="center" vertical="center" wrapText="1"/>
    </xf>
    <xf numFmtId="165" fontId="5" fillId="0" borderId="3" xfId="0" applyNumberFormat="1" applyFont="1" applyBorder="1"/>
    <xf numFmtId="165" fontId="7" fillId="0" borderId="1" xfId="1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165" fontId="7" fillId="0" borderId="3" xfId="0" applyNumberFormat="1" applyFont="1" applyBorder="1" applyAlignment="1">
      <alignment horizontal="left"/>
    </xf>
    <xf numFmtId="14" fontId="4" fillId="0" borderId="3" xfId="1" applyNumberFormat="1" applyFont="1" applyFill="1" applyBorder="1" applyAlignment="1">
      <alignment horizontal="right"/>
    </xf>
    <xf numFmtId="165" fontId="7" fillId="0" borderId="3" xfId="1" applyNumberFormat="1" applyFont="1" applyFill="1" applyBorder="1" applyAlignment="1">
      <alignment horizontal="right"/>
    </xf>
    <xf numFmtId="14" fontId="4" fillId="0" borderId="3" xfId="1" applyNumberFormat="1" applyFont="1" applyBorder="1" applyAlignment="1">
      <alignment horizontal="right"/>
    </xf>
    <xf numFmtId="165" fontId="5" fillId="0" borderId="1" xfId="1" applyNumberFormat="1" applyFont="1" applyBorder="1" applyAlignment="1">
      <alignment horizontal="right"/>
    </xf>
    <xf numFmtId="165" fontId="5" fillId="0" borderId="2" xfId="1" applyNumberFormat="1" applyFont="1" applyBorder="1" applyAlignment="1">
      <alignment horizontal="right"/>
    </xf>
    <xf numFmtId="165" fontId="5" fillId="0" borderId="3" xfId="1" applyNumberFormat="1" applyFont="1" applyBorder="1" applyAlignment="1">
      <alignment horizontal="right"/>
    </xf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4" fontId="4" fillId="4" borderId="1" xfId="1" applyNumberFormat="1" applyFont="1" applyFill="1" applyBorder="1" applyAlignment="1">
      <alignment horizontal="right"/>
    </xf>
    <xf numFmtId="165" fontId="5" fillId="4" borderId="1" xfId="0" applyNumberFormat="1" applyFont="1" applyFill="1" applyBorder="1"/>
    <xf numFmtId="165" fontId="7" fillId="4" borderId="1" xfId="0" applyNumberFormat="1" applyFont="1" applyFill="1" applyBorder="1" applyAlignment="1">
      <alignment horizontal="left"/>
    </xf>
    <xf numFmtId="165" fontId="7" fillId="4" borderId="1" xfId="1" applyNumberFormat="1" applyFont="1" applyFill="1" applyBorder="1" applyAlignment="1">
      <alignment horizontal="right"/>
    </xf>
    <xf numFmtId="165" fontId="5" fillId="5" borderId="1" xfId="0" applyNumberFormat="1" applyFont="1" applyFill="1" applyBorder="1"/>
    <xf numFmtId="165" fontId="5" fillId="4" borderId="1" xfId="1" applyNumberFormat="1" applyFont="1" applyFill="1" applyBorder="1" applyAlignment="1">
      <alignment horizontal="right"/>
    </xf>
    <xf numFmtId="165" fontId="5" fillId="5" borderId="3" xfId="0" applyNumberFormat="1" applyFont="1" applyFill="1" applyBorder="1"/>
    <xf numFmtId="0" fontId="4" fillId="4" borderId="3" xfId="0" applyFont="1" applyFill="1" applyBorder="1" applyAlignment="1">
      <alignment horizontal="left"/>
    </xf>
    <xf numFmtId="14" fontId="4" fillId="4" borderId="3" xfId="1" applyNumberFormat="1" applyFont="1" applyFill="1" applyBorder="1" applyAlignment="1">
      <alignment horizontal="right"/>
    </xf>
    <xf numFmtId="14" fontId="4" fillId="5" borderId="3" xfId="1" applyNumberFormat="1" applyFont="1" applyFill="1" applyBorder="1" applyAlignment="1">
      <alignment horizontal="right"/>
    </xf>
    <xf numFmtId="0" fontId="0" fillId="4" borderId="0" xfId="0" applyFill="1"/>
  </cellXfs>
  <cellStyles count="3">
    <cellStyle name="Moneda" xfId="1" builtinId="4"/>
    <cellStyle name="Normal" xfId="0" builtinId="0"/>
    <cellStyle name="Normal 2" xfId="2" xr:uid="{1502C213-FA16-47F0-B0FC-B054C642BBAB}"/>
  </cellStyles>
  <dxfs count="62"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  <name val="Aptos Estrechos"/>
        <charset val="134"/>
        <scheme val="none"/>
      </font>
      <numFmt numFmtId="165" formatCode="&quot;$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  <name val="Aptos Estrechos"/>
        <charset val="134"/>
        <scheme val="none"/>
      </font>
      <numFmt numFmtId="165" formatCode="&quot;$&quot;\ #,##0.0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7" tint="-0.249977111117893"/>
      </font>
      <numFmt numFmtId="165" formatCode="&quot;$&quot;\ 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numFmt numFmtId="165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Estrechos"/>
        <charset val="134"/>
        <scheme val="none"/>
      </font>
      <numFmt numFmtId="165" formatCode="&quot;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7" tint="-0.249977111117893"/>
      </font>
      <numFmt numFmtId="165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66" formatCode="[$$-240A]\ #,##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numFmt numFmtId="19" formatCode="d/mm/yyyy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Estrechos"/>
        <charset val="134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charset val="134"/>
        <scheme val="none"/>
      </font>
      <fill>
        <patternFill patternType="solid">
          <fgColor rgb="FFB4C6E7"/>
          <bgColor rgb="FFB4C6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DEE600-47AB-4FC2-AB53-84955023E2AF}" name="Tabla4" displayName="Tabla4" ref="A1:BC18" totalsRowShown="0" headerRowDxfId="61" headerRowBorderDxfId="60" tableBorderDxfId="59" totalsRowBorderDxfId="58" headerRowCellStyle="Normal 2">
  <autoFilter ref="A1:BC18" xr:uid="{6ADEE600-47AB-4FC2-AB53-84955023E2AF}"/>
  <sortState xmlns:xlrd2="http://schemas.microsoft.com/office/spreadsheetml/2017/richdata2" ref="A2:AM18">
    <sortCondition ref="D1:D18"/>
  </sortState>
  <tableColumns count="55">
    <tableColumn id="1" xr3:uid="{29D22360-06EE-4232-846A-847462B921C9}" name="No" dataDxfId="19" dataCellStyle="Normal 2">
      <calculatedColumnFormula>+A1+1</calculatedColumnFormula>
    </tableColumn>
    <tableColumn id="2" xr3:uid="{FD00C3B0-0F2A-4FF3-B8ED-EF64C17A76CB}" name="TPO DE DOC." dataDxfId="57"/>
    <tableColumn id="3" xr3:uid="{CABEF635-2DF8-495E-AF57-5C75AC73851C}" name="CEDULA" dataDxfId="56"/>
    <tableColumn id="4" xr3:uid="{92D2EC48-DE1B-44A7-92DF-9A1C92E43BAA}" name="&quot;APELLIDO&quot;" dataDxfId="55"/>
    <tableColumn id="5" xr3:uid="{B7F06CCB-6AE6-4E69-B47E-E56239F00332}" name="&quot;NOMBRES&quot;" dataDxfId="54"/>
    <tableColumn id="9" xr3:uid="{C6976010-D532-4B1E-94B8-98F5FD82D3DB}" name="CARGO" dataDxfId="53"/>
    <tableColumn id="10" xr3:uid="{C293D20A-0AFD-4659-AB0F-EE2C4484DA59}" name="FECHA DE INGRESO" dataDxfId="52"/>
    <tableColumn id="11" xr3:uid="{C3E1BA7D-95E6-4E69-AB4A-1999DFD7129F}" name="FECHA DE PAGO" dataDxfId="51" dataCellStyle="Moneda"/>
    <tableColumn id="12" xr3:uid="{6A170572-C842-4E5A-B1D2-0ABD1A2FA4F5}" name="CANTIDAD" dataDxfId="50"/>
    <tableColumn id="13" xr3:uid="{BE4D093C-0A74-498F-AB93-83DCE6876CA6}" name="FECHA " dataDxfId="49"/>
    <tableColumn id="14" xr3:uid="{2244AD0D-900A-4232-B4B4-D224DA64E24F}" name="CANTIDAD                                          " dataDxfId="48"/>
    <tableColumn id="15" xr3:uid="{D916918A-931D-4BD3-AA4B-202711984226}" name="FECHA        " dataDxfId="47" dataCellStyle="Moneda"/>
    <tableColumn id="16" xr3:uid="{3CBA4FE5-7B6B-4781-8D0C-93989005F0E7}" name="CANTIDAD                   " dataDxfId="46"/>
    <tableColumn id="17" xr3:uid="{86740DFA-C48B-4695-8ADC-5FEEF874E54E}" name="FECHA                                 " dataDxfId="45" dataCellStyle="Moneda"/>
    <tableColumn id="21" xr3:uid="{8E5638F5-E4A2-4254-96B5-B0EF88866A48}" name="CANTIDAD         " dataDxfId="44" dataCellStyle="Moneda"/>
    <tableColumn id="22" xr3:uid="{7981B01A-4891-4DC3-84ED-5CA492F11489}" name="FECHA                   " dataDxfId="43"/>
    <tableColumn id="23" xr3:uid="{C1B58240-6EC7-4B0A-8838-70E721A85B70}" name="CANTIDAD    " dataDxfId="42"/>
    <tableColumn id="24" xr3:uid="{1378CEF4-DD52-4E5C-9703-8C674F9F8CA3}" name="FECHA                                                    " dataDxfId="41" dataCellStyle="Moneda"/>
    <tableColumn id="25" xr3:uid="{443DF0B1-023E-4FB9-98F8-52669835C492}" name="CANTIDAD                                      " dataDxfId="40" dataCellStyle="Moneda"/>
    <tableColumn id="6" xr3:uid="{0F3161D5-A8BF-432F-BF83-F8308777563B}" name="FECHA" dataDxfId="39" dataCellStyle="Moneda"/>
    <tableColumn id="7" xr3:uid="{92DC49AE-149D-40CA-8A10-533E0D4C6193}" name="CANTIDAD                              " dataDxfId="38"/>
    <tableColumn id="8" xr3:uid="{6D74F242-15E0-4585-BA6B-DB402D122C83}" name="FECHA  " dataDxfId="37" dataCellStyle="Moneda"/>
    <tableColumn id="18" xr3:uid="{3F6296BD-70D8-4409-9927-397213D47B4A}" name="CANTIDAD      " dataDxfId="36"/>
    <tableColumn id="19" xr3:uid="{E6FD13DD-A62C-408A-B38B-783892018882}" name="FECHA                    " dataDxfId="35" dataCellStyle="Moneda"/>
    <tableColumn id="20" xr3:uid="{681C32AF-797C-4D35-BFAA-E0937FFACEF6}" name="CANTIDAD           " dataDxfId="34"/>
    <tableColumn id="26" xr3:uid="{1F479692-10A4-4845-A93E-C0429B56842D}" name="FECHA       " dataDxfId="33" dataCellStyle="Moneda"/>
    <tableColumn id="27" xr3:uid="{E5CFED51-178C-4523-BBB4-FDE8ECD68DF7}" name="CANTIDAD             " dataDxfId="32"/>
    <tableColumn id="28" xr3:uid="{8E53B2CE-8C1C-4697-A7F6-726A7D11C42B}" name="FECHA    " dataDxfId="31" dataCellStyle="Moneda"/>
    <tableColumn id="29" xr3:uid="{19A6CEF0-DE63-4D3A-BD15-04E5DA2F5022}" name="CANTIDAD  " dataDxfId="30"/>
    <tableColumn id="30" xr3:uid="{33F8FDFB-53DD-49BE-8EFC-336C0E12337A}" name="FECHA           " dataDxfId="29" dataCellStyle="Moneda"/>
    <tableColumn id="31" xr3:uid="{784FF34D-D4EE-4EDB-A487-B42FF0755219}" name="CANTIDAD     " dataDxfId="28"/>
    <tableColumn id="32" xr3:uid="{CB472F63-2F06-4E65-BF62-AF2D650D126A}" name="FECHA 2" dataDxfId="27" dataCellStyle="Moneda"/>
    <tableColumn id="33" xr3:uid="{91F1548D-3E51-4B5C-B11D-7FF890F8FE4C}" name="CANTIDAD       3" dataDxfId="26" dataCellStyle="Moneda"/>
    <tableColumn id="34" xr3:uid="{925B3C6A-2D1C-4B4F-ACBE-4279EB3A0160}" name="FECHA4" dataDxfId="25" dataCellStyle="Moneda"/>
    <tableColumn id="35" xr3:uid="{CDA9A328-07D0-43CA-BDA0-7A1CAF047D2D}" name="CANTIDAD3" dataDxfId="24"/>
    <tableColumn id="36" xr3:uid="{1C1B4C8C-6163-4F47-B3A4-1B586264B999}" name="FECHA6" dataDxfId="23" dataCellStyle="Moneda"/>
    <tableColumn id="37" xr3:uid="{9A4FD4CA-4FD4-468F-BF24-60DB1ECE3307}" name="CANTIDAD4" dataDxfId="22"/>
    <tableColumn id="38" xr3:uid="{8613F08B-39C1-4E9B-837D-B779EF814942}" name="CANTIDAD5" dataDxfId="21" dataCellStyle="Moneda"/>
    <tableColumn id="39" xr3:uid="{AB8C5D80-0AE7-42E5-9EDA-868F7035D6D4}" name="CANTIDAD6" dataDxfId="20"/>
    <tableColumn id="40" xr3:uid="{577BBE42-06F3-42E6-95FB-1BA32DF2FB8E}" name="FECHA 3" dataDxfId="18" dataCellStyle="Moneda"/>
    <tableColumn id="41" xr3:uid="{0CC95DE0-E691-4647-8A7A-ECCE617C8B05}" name="CANTIDAD   " dataDxfId="17"/>
    <tableColumn id="42" xr3:uid="{BC784E86-501D-40E3-BC45-451B0F07D1B8}" name="FECHA2" dataDxfId="16" dataCellStyle="Moneda"/>
    <tableColumn id="43" xr3:uid="{0AE86895-2D1D-4A3B-9B92-90C0F8D142C8}" name="CANTIDAD2" dataDxfId="15"/>
    <tableColumn id="44" xr3:uid="{562A1162-6FEB-48FB-AF8B-E60D8CD2B83B}" name="FECHA3" dataDxfId="14" dataCellStyle="Moneda"/>
    <tableColumn id="45" xr3:uid="{18B0C155-80E6-4156-A4DD-B1DDA2780C08}" name="CANTIDAD7" dataDxfId="13"/>
    <tableColumn id="46" xr3:uid="{939EFBF4-7AF7-4F2D-9249-B1394F785046}" name="FECHA5" dataDxfId="11" dataCellStyle="Moneda"/>
    <tableColumn id="47" xr3:uid="{8BC9AF9C-E0DB-4CB6-A392-0BF3B5BE2E25}" name="CANTIDAD9" dataDxfId="12" dataCellStyle="Moneda"/>
    <tableColumn id="48" xr3:uid="{83795D6C-7D11-43D9-9575-BD9114B9564A}" name="FECHA8" dataDxfId="9" dataCellStyle="Moneda"/>
    <tableColumn id="49" xr3:uid="{9B9427C9-24ED-4164-ACFE-270B6E5B1263}" name="CANTIDAD8" dataDxfId="10" dataCellStyle="Moneda"/>
    <tableColumn id="50" xr3:uid="{757142A8-77EB-4D6D-9364-F3E0676B1523}" name="FECHA52" dataDxfId="8" dataCellStyle="Moneda"/>
    <tableColumn id="51" xr3:uid="{3EFDC16F-FF50-424F-B555-1E2DB018AB69}" name="CANTIDAD93" dataDxfId="7" dataCellStyle="Moneda"/>
    <tableColumn id="52" xr3:uid="{6525E76E-BE5B-4BF0-9672-D06ECA46B1CD}" name="FECHA84" dataDxfId="6" dataCellStyle="Moneda"/>
    <tableColumn id="53" xr3:uid="{E5A963A1-00D7-4DBB-B2E7-9BD834D52D4A}" name="CANTIDAD10" dataDxfId="5" dataCellStyle="Moneda"/>
    <tableColumn id="54" xr3:uid="{E5E27BFD-39C7-4DC5-98B7-650153D5E082}" name="FECHA7" dataDxfId="4" dataCellStyle="Moneda"/>
    <tableColumn id="55" xr3:uid="{C614F7CD-0E5F-4C8C-8C88-8D0B99586890}" name="CANTIDAD11" dataDxfId="3" dataCellStyle="Moneda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5C18-DD58-419F-9824-C64DD4D75F5E}">
  <dimension ref="A1:BC25"/>
  <sheetViews>
    <sheetView tabSelected="1" zoomScale="106" zoomScaleNormal="106" workbookViewId="0">
      <selection activeCell="D28" sqref="D28"/>
    </sheetView>
  </sheetViews>
  <sheetFormatPr baseColWidth="10" defaultColWidth="15" defaultRowHeight="14.25"/>
  <cols>
    <col min="1" max="1" width="6.75" bestFit="1" customWidth="1"/>
    <col min="2" max="2" width="14.625" bestFit="1" customWidth="1"/>
    <col min="3" max="3" width="10.875" bestFit="1" customWidth="1"/>
    <col min="4" max="4" width="25.375" bestFit="1" customWidth="1"/>
    <col min="5" max="5" width="17.875" bestFit="1" customWidth="1"/>
    <col min="6" max="6" width="18" bestFit="1" customWidth="1"/>
    <col min="7" max="7" width="18.625" bestFit="1" customWidth="1"/>
    <col min="8" max="8" width="16.875" bestFit="1" customWidth="1"/>
    <col min="9" max="9" width="13.625" bestFit="1" customWidth="1"/>
    <col min="10" max="10" width="10.875" bestFit="1" customWidth="1"/>
    <col min="11" max="11" width="13.625" bestFit="1" customWidth="1"/>
    <col min="12" max="12" width="9.875" bestFit="1" customWidth="1"/>
    <col min="13" max="13" width="13.625" bestFit="1" customWidth="1"/>
    <col min="14" max="14" width="10.875" bestFit="1" customWidth="1"/>
    <col min="15" max="15" width="13.625" bestFit="1" customWidth="1"/>
    <col min="16" max="16" width="10.875" bestFit="1" customWidth="1"/>
    <col min="17" max="17" width="13.625" bestFit="1" customWidth="1"/>
    <col min="18" max="18" width="10.875" bestFit="1" customWidth="1"/>
    <col min="19" max="19" width="13.625" bestFit="1" customWidth="1"/>
    <col min="20" max="20" width="10.875" bestFit="1" customWidth="1"/>
    <col min="21" max="21" width="12.875" bestFit="1" customWidth="1"/>
    <col min="22" max="22" width="10.875" bestFit="1" customWidth="1"/>
    <col min="23" max="23" width="13.625" bestFit="1" customWidth="1"/>
    <col min="24" max="24" width="10.875" bestFit="1" customWidth="1"/>
    <col min="25" max="25" width="13.625" bestFit="1" customWidth="1"/>
    <col min="26" max="26" width="9.875" bestFit="1" customWidth="1"/>
    <col min="27" max="27" width="13.625" bestFit="1" customWidth="1"/>
    <col min="28" max="28" width="10.875" bestFit="1" customWidth="1"/>
    <col min="29" max="29" width="13.625" bestFit="1" customWidth="1"/>
    <col min="30" max="30" width="9.875" bestFit="1" customWidth="1"/>
    <col min="31" max="31" width="13.625" bestFit="1" customWidth="1"/>
    <col min="32" max="32" width="11" bestFit="1" customWidth="1"/>
    <col min="33" max="33" width="16.25" bestFit="1" customWidth="1"/>
    <col min="34" max="34" width="10.625" bestFit="1" customWidth="1"/>
    <col min="35" max="35" width="13.625" bestFit="1" customWidth="1"/>
    <col min="36" max="36" width="10.875" bestFit="1" customWidth="1"/>
    <col min="37" max="39" width="13.625" bestFit="1" customWidth="1"/>
    <col min="40" max="40" width="11" bestFit="1" customWidth="1"/>
    <col min="41" max="41" width="13.625" bestFit="1" customWidth="1"/>
    <col min="42" max="42" width="10.875" bestFit="1" customWidth="1"/>
    <col min="43" max="43" width="13.625" bestFit="1" customWidth="1"/>
    <col min="44" max="44" width="10.875" bestFit="1" customWidth="1"/>
    <col min="45" max="45" width="13.625" bestFit="1" customWidth="1"/>
    <col min="46" max="46" width="10.875" bestFit="1" customWidth="1"/>
    <col min="47" max="47" width="13.625" bestFit="1" customWidth="1"/>
    <col min="48" max="48" width="10.625" bestFit="1" customWidth="1"/>
    <col min="49" max="49" width="13.625" bestFit="1" customWidth="1"/>
    <col min="50" max="50" width="11.375" bestFit="1" customWidth="1"/>
    <col min="51" max="51" width="14.375" bestFit="1" customWidth="1"/>
    <col min="52" max="52" width="11.375" bestFit="1" customWidth="1"/>
    <col min="53" max="53" width="14.375" bestFit="1" customWidth="1"/>
    <col min="54" max="54" width="10.875" bestFit="1" customWidth="1"/>
    <col min="55" max="55" width="14.375" bestFit="1" customWidth="1"/>
  </cols>
  <sheetData>
    <row r="1" spans="1:55" s="6" customFormat="1" ht="2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41</v>
      </c>
      <c r="I1" s="3" t="s">
        <v>29</v>
      </c>
      <c r="J1" s="3" t="s">
        <v>47</v>
      </c>
      <c r="K1" s="3" t="s">
        <v>43</v>
      </c>
      <c r="L1" s="3" t="s">
        <v>48</v>
      </c>
      <c r="M1" s="3" t="s">
        <v>44</v>
      </c>
      <c r="N1" s="3" t="s">
        <v>49</v>
      </c>
      <c r="O1" s="3" t="s">
        <v>45</v>
      </c>
      <c r="P1" s="3" t="s">
        <v>50</v>
      </c>
      <c r="Q1" s="3" t="s">
        <v>46</v>
      </c>
      <c r="R1" s="3" t="s">
        <v>51</v>
      </c>
      <c r="S1" s="3" t="s">
        <v>52</v>
      </c>
      <c r="T1" s="1" t="s">
        <v>42</v>
      </c>
      <c r="U1" s="3" t="s">
        <v>53</v>
      </c>
      <c r="V1" s="1" t="s">
        <v>54</v>
      </c>
      <c r="W1" s="1" t="s">
        <v>55</v>
      </c>
      <c r="X1" s="12" t="s">
        <v>56</v>
      </c>
      <c r="Y1" s="12" t="s">
        <v>57</v>
      </c>
      <c r="Z1" s="12" t="s">
        <v>58</v>
      </c>
      <c r="AA1" s="12" t="s">
        <v>59</v>
      </c>
      <c r="AB1" s="1" t="s">
        <v>60</v>
      </c>
      <c r="AC1" s="3" t="s">
        <v>61</v>
      </c>
      <c r="AD1" s="1" t="s">
        <v>62</v>
      </c>
      <c r="AE1" s="1" t="s">
        <v>63</v>
      </c>
      <c r="AF1" s="1" t="s">
        <v>76</v>
      </c>
      <c r="AG1" s="1" t="s">
        <v>75</v>
      </c>
      <c r="AH1" s="12" t="s">
        <v>66</v>
      </c>
      <c r="AI1" s="12" t="s">
        <v>73</v>
      </c>
      <c r="AJ1" s="12" t="s">
        <v>68</v>
      </c>
      <c r="AK1" s="12" t="s">
        <v>74</v>
      </c>
      <c r="AL1" s="12" t="s">
        <v>77</v>
      </c>
      <c r="AM1" s="12" t="s">
        <v>78</v>
      </c>
      <c r="AN1" s="12" t="s">
        <v>81</v>
      </c>
      <c r="AO1" s="12" t="s">
        <v>82</v>
      </c>
      <c r="AP1" s="12" t="s">
        <v>64</v>
      </c>
      <c r="AQ1" s="12" t="s">
        <v>72</v>
      </c>
      <c r="AR1" s="12" t="s">
        <v>65</v>
      </c>
      <c r="AS1" s="12" t="s">
        <v>83</v>
      </c>
      <c r="AT1" s="12" t="s">
        <v>67</v>
      </c>
      <c r="AU1" s="12" t="s">
        <v>85</v>
      </c>
      <c r="AV1" s="12" t="s">
        <v>86</v>
      </c>
      <c r="AW1" s="12" t="s">
        <v>84</v>
      </c>
      <c r="AX1" s="12" t="s">
        <v>87</v>
      </c>
      <c r="AY1" s="12" t="s">
        <v>88</v>
      </c>
      <c r="AZ1" s="12" t="s">
        <v>89</v>
      </c>
      <c r="BA1" s="12" t="s">
        <v>90</v>
      </c>
      <c r="BB1" s="12" t="s">
        <v>69</v>
      </c>
      <c r="BC1" s="12" t="s">
        <v>91</v>
      </c>
    </row>
    <row r="2" spans="1:55" s="6" customFormat="1">
      <c r="A2" s="6">
        <v>1</v>
      </c>
      <c r="B2" s="4" t="s">
        <v>7</v>
      </c>
      <c r="C2" s="5">
        <v>3144480</v>
      </c>
      <c r="D2" s="6" t="s">
        <v>25</v>
      </c>
      <c r="E2" s="6" t="s">
        <v>28</v>
      </c>
      <c r="F2" s="5" t="s">
        <v>9</v>
      </c>
      <c r="G2" s="11">
        <v>45666</v>
      </c>
      <c r="H2" s="8">
        <v>45688</v>
      </c>
      <c r="I2" s="7">
        <v>1000000</v>
      </c>
      <c r="J2" s="8">
        <v>45702</v>
      </c>
      <c r="K2" s="7">
        <v>1000000</v>
      </c>
      <c r="L2" s="8">
        <v>45717</v>
      </c>
      <c r="M2" s="7">
        <v>1200000</v>
      </c>
      <c r="N2" s="8">
        <v>45731</v>
      </c>
      <c r="O2" s="7">
        <v>1000000</v>
      </c>
      <c r="P2" s="8">
        <v>45745</v>
      </c>
      <c r="Q2" s="7">
        <v>1000000</v>
      </c>
      <c r="R2" s="9">
        <v>45761</v>
      </c>
      <c r="S2" s="7">
        <v>1000000</v>
      </c>
      <c r="T2" s="9">
        <v>45773</v>
      </c>
      <c r="U2" s="7">
        <v>400000</v>
      </c>
      <c r="V2" s="9">
        <v>45787</v>
      </c>
      <c r="W2" s="7">
        <v>1600000</v>
      </c>
      <c r="X2" s="9">
        <v>45801</v>
      </c>
      <c r="Y2" s="7">
        <v>1100000</v>
      </c>
      <c r="Z2" s="9">
        <v>45817</v>
      </c>
      <c r="AA2" s="7">
        <v>1000000</v>
      </c>
      <c r="AB2" s="9">
        <v>45829</v>
      </c>
      <c r="AC2" s="7">
        <v>1100000</v>
      </c>
      <c r="AD2" s="9">
        <v>45842</v>
      </c>
      <c r="AE2" s="7">
        <v>1000000</v>
      </c>
      <c r="AF2" s="9">
        <v>45857</v>
      </c>
      <c r="AG2" s="7">
        <v>1000000</v>
      </c>
      <c r="AH2" s="9">
        <v>45871</v>
      </c>
      <c r="AI2" s="7">
        <v>1000000</v>
      </c>
      <c r="AJ2" s="9">
        <v>45885</v>
      </c>
      <c r="AK2" s="7">
        <v>1000000</v>
      </c>
      <c r="AL2" s="9">
        <v>45899</v>
      </c>
      <c r="AM2" s="7">
        <v>1000000</v>
      </c>
      <c r="AN2" s="9">
        <v>45913</v>
      </c>
      <c r="AO2" s="7">
        <v>1000000</v>
      </c>
      <c r="AP2" s="9">
        <v>45927</v>
      </c>
      <c r="AQ2" s="7">
        <v>1650000</v>
      </c>
      <c r="AR2" s="9">
        <v>45941</v>
      </c>
      <c r="AS2" s="7">
        <v>800000</v>
      </c>
      <c r="AT2" s="9">
        <v>45955</v>
      </c>
      <c r="AU2" s="21">
        <v>1100000</v>
      </c>
      <c r="AV2" s="9">
        <v>45968</v>
      </c>
      <c r="AW2" s="7">
        <v>1150000</v>
      </c>
      <c r="AX2" s="9">
        <v>45983</v>
      </c>
      <c r="AY2" s="7">
        <v>1080000</v>
      </c>
      <c r="AZ2" s="9">
        <v>45997</v>
      </c>
      <c r="BA2" s="7">
        <v>1300000</v>
      </c>
      <c r="BB2" s="9">
        <v>46010</v>
      </c>
      <c r="BC2" s="21">
        <v>1270000</v>
      </c>
    </row>
    <row r="3" spans="1:55" s="6" customFormat="1">
      <c r="A3" s="6">
        <f>+A2+1</f>
        <v>2</v>
      </c>
      <c r="B3" s="4" t="s">
        <v>7</v>
      </c>
      <c r="C3" s="5">
        <v>1106789</v>
      </c>
      <c r="D3" s="6" t="s">
        <v>10</v>
      </c>
      <c r="E3" s="6" t="s">
        <v>28</v>
      </c>
      <c r="F3" s="5" t="s">
        <v>11</v>
      </c>
      <c r="G3" s="11">
        <v>45658</v>
      </c>
      <c r="H3" s="11"/>
      <c r="I3" s="10"/>
      <c r="J3" s="5"/>
      <c r="K3" s="10"/>
      <c r="L3" s="11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/>
      <c r="AB3" s="9"/>
      <c r="AC3" s="10"/>
      <c r="AD3" s="9"/>
      <c r="AE3" s="10"/>
      <c r="AF3" s="9"/>
      <c r="AG3" s="10"/>
      <c r="AH3" s="9"/>
      <c r="AI3" s="10"/>
      <c r="AJ3" s="9"/>
      <c r="AK3" s="10"/>
      <c r="AL3" s="9"/>
      <c r="AM3" s="10"/>
      <c r="AN3" s="9"/>
      <c r="AO3" s="10"/>
      <c r="AP3" s="9"/>
      <c r="AQ3" s="10"/>
      <c r="AR3" s="9"/>
      <c r="AS3" s="10"/>
      <c r="AT3" s="9"/>
      <c r="AU3" s="20"/>
      <c r="AV3" s="9"/>
      <c r="AW3" s="10"/>
      <c r="AX3" s="9"/>
      <c r="AY3" s="10"/>
      <c r="AZ3" s="9"/>
      <c r="BA3" s="10"/>
      <c r="BB3" s="9"/>
      <c r="BC3" s="20"/>
    </row>
    <row r="4" spans="1:55" s="6" customFormat="1">
      <c r="A4" s="6">
        <f>+A3+1</f>
        <v>3</v>
      </c>
      <c r="B4" s="4" t="s">
        <v>7</v>
      </c>
      <c r="C4" s="5">
        <v>19897456</v>
      </c>
      <c r="D4" s="6" t="s">
        <v>26</v>
      </c>
      <c r="E4" s="6" t="s">
        <v>8</v>
      </c>
      <c r="F4" s="5" t="s">
        <v>9</v>
      </c>
      <c r="G4" s="11">
        <v>45726</v>
      </c>
      <c r="H4" s="11"/>
      <c r="I4" s="7"/>
      <c r="J4" s="5"/>
      <c r="K4" s="7"/>
      <c r="L4" s="11"/>
      <c r="M4" s="7"/>
      <c r="N4" s="8"/>
      <c r="O4" s="7"/>
      <c r="P4" s="8">
        <v>45745</v>
      </c>
      <c r="Q4" s="7">
        <v>1100000</v>
      </c>
      <c r="R4" s="9">
        <v>45761</v>
      </c>
      <c r="S4" s="7">
        <v>1000000</v>
      </c>
      <c r="T4" s="9">
        <v>45773</v>
      </c>
      <c r="U4" s="7">
        <v>600000</v>
      </c>
      <c r="V4" s="9">
        <v>45787</v>
      </c>
      <c r="W4" s="7">
        <v>1200000</v>
      </c>
      <c r="X4" s="9">
        <v>45801</v>
      </c>
      <c r="Y4" s="7">
        <v>550000</v>
      </c>
      <c r="Z4" s="9">
        <v>45817</v>
      </c>
      <c r="AA4" s="7">
        <v>1000000</v>
      </c>
      <c r="AB4" s="9">
        <v>45829</v>
      </c>
      <c r="AC4" s="7">
        <v>1500000</v>
      </c>
      <c r="AD4" s="9">
        <v>45842</v>
      </c>
      <c r="AE4" s="7">
        <v>1200000</v>
      </c>
      <c r="AF4" s="9">
        <v>45857</v>
      </c>
      <c r="AG4" s="7">
        <v>1500000</v>
      </c>
      <c r="AH4" s="9">
        <v>45871</v>
      </c>
      <c r="AI4" s="7">
        <v>1200000</v>
      </c>
      <c r="AJ4" s="9">
        <v>45885</v>
      </c>
      <c r="AK4" s="7">
        <v>1300000</v>
      </c>
      <c r="AL4" s="9">
        <v>45899</v>
      </c>
      <c r="AM4" s="7">
        <v>1500000</v>
      </c>
      <c r="AN4" s="9">
        <v>45913</v>
      </c>
      <c r="AO4" s="7">
        <v>1000000</v>
      </c>
      <c r="AP4" s="9">
        <v>45927</v>
      </c>
      <c r="AQ4" s="7">
        <v>1600000</v>
      </c>
      <c r="AR4" s="9">
        <v>45941</v>
      </c>
      <c r="AS4" s="7">
        <v>800000</v>
      </c>
      <c r="AT4" s="9">
        <v>45955</v>
      </c>
      <c r="AU4" s="20">
        <v>1400000</v>
      </c>
      <c r="AV4" s="9">
        <v>45968</v>
      </c>
      <c r="AW4" s="7">
        <v>1050000</v>
      </c>
      <c r="AX4" s="9">
        <v>45983</v>
      </c>
      <c r="AY4" s="7">
        <v>1600000</v>
      </c>
      <c r="AZ4" s="9">
        <v>45997</v>
      </c>
      <c r="BA4" s="7">
        <v>1500000</v>
      </c>
      <c r="BB4" s="9">
        <v>46010</v>
      </c>
      <c r="BC4" s="20">
        <v>900000</v>
      </c>
    </row>
    <row r="5" spans="1:55" s="6" customFormat="1">
      <c r="A5" s="6">
        <f>+A4+1</f>
        <v>4</v>
      </c>
      <c r="B5" s="4" t="s">
        <v>7</v>
      </c>
      <c r="C5" s="5">
        <v>1062679208</v>
      </c>
      <c r="D5" s="6" t="s">
        <v>12</v>
      </c>
      <c r="E5" s="6" t="s">
        <v>13</v>
      </c>
      <c r="F5" s="5" t="s">
        <v>9</v>
      </c>
      <c r="G5" s="11">
        <v>45666</v>
      </c>
      <c r="H5" s="8">
        <v>45688</v>
      </c>
      <c r="I5" s="10">
        <v>1000000</v>
      </c>
      <c r="J5" s="8">
        <v>45702</v>
      </c>
      <c r="K5" s="10">
        <v>1200000</v>
      </c>
      <c r="L5" s="8">
        <v>45717</v>
      </c>
      <c r="M5" s="10">
        <v>1000000</v>
      </c>
      <c r="N5" s="8">
        <v>45731</v>
      </c>
      <c r="O5" s="10">
        <v>1500000</v>
      </c>
      <c r="P5" s="8">
        <v>45745</v>
      </c>
      <c r="Q5" s="10">
        <v>1500000</v>
      </c>
      <c r="R5" s="9">
        <v>45761</v>
      </c>
      <c r="S5" s="10">
        <v>1400000</v>
      </c>
      <c r="T5" s="9">
        <v>45773</v>
      </c>
      <c r="U5" s="10">
        <v>600000</v>
      </c>
      <c r="V5" s="9">
        <v>45787</v>
      </c>
      <c r="W5" s="10">
        <v>2200000</v>
      </c>
      <c r="X5" s="9">
        <v>45801</v>
      </c>
      <c r="Y5" s="10">
        <v>1800000</v>
      </c>
      <c r="Z5" s="9">
        <v>45817</v>
      </c>
      <c r="AA5" s="10">
        <v>1600000</v>
      </c>
      <c r="AB5" s="9">
        <v>45829</v>
      </c>
      <c r="AC5" s="10">
        <v>2050000</v>
      </c>
      <c r="AD5" s="9">
        <v>45842</v>
      </c>
      <c r="AE5" s="10">
        <v>1300000</v>
      </c>
      <c r="AF5" s="9">
        <v>45857</v>
      </c>
      <c r="AG5" s="10">
        <v>1800000</v>
      </c>
      <c r="AH5" s="9">
        <v>45871</v>
      </c>
      <c r="AI5" s="10">
        <v>1660000</v>
      </c>
      <c r="AJ5" s="9">
        <v>45885</v>
      </c>
      <c r="AK5" s="10">
        <v>1500000</v>
      </c>
      <c r="AL5" s="9">
        <v>45899</v>
      </c>
      <c r="AM5" s="10">
        <v>1600000</v>
      </c>
      <c r="AN5" s="9">
        <v>45913</v>
      </c>
      <c r="AO5" s="10">
        <v>1000000</v>
      </c>
      <c r="AP5" s="9">
        <v>45927</v>
      </c>
      <c r="AQ5" s="10">
        <v>1600000</v>
      </c>
      <c r="AR5" s="9">
        <v>45941</v>
      </c>
      <c r="AS5" s="10">
        <v>1400000</v>
      </c>
      <c r="AT5" s="9">
        <v>45955</v>
      </c>
      <c r="AU5" s="20">
        <v>2550000</v>
      </c>
      <c r="AV5" s="9">
        <v>45968</v>
      </c>
      <c r="AW5" s="10">
        <v>1450000</v>
      </c>
      <c r="AX5" s="9">
        <v>45983</v>
      </c>
      <c r="AY5" s="10">
        <v>2000000</v>
      </c>
      <c r="AZ5" s="9">
        <v>45997</v>
      </c>
      <c r="BA5" s="10">
        <v>1800000</v>
      </c>
      <c r="BB5" s="9">
        <v>46010</v>
      </c>
      <c r="BC5" s="20">
        <v>1800000</v>
      </c>
    </row>
    <row r="6" spans="1:55" s="6" customFormat="1">
      <c r="A6" s="6">
        <f>+A5+1</f>
        <v>5</v>
      </c>
      <c r="B6" s="4" t="s">
        <v>7</v>
      </c>
      <c r="C6" s="5">
        <v>9102733</v>
      </c>
      <c r="D6" s="6" t="s">
        <v>24</v>
      </c>
      <c r="E6" s="6" t="s">
        <v>14</v>
      </c>
      <c r="F6" s="5" t="s">
        <v>9</v>
      </c>
      <c r="G6" s="11">
        <v>45737</v>
      </c>
      <c r="H6" s="11"/>
      <c r="I6" s="7"/>
      <c r="J6" s="5"/>
      <c r="K6" s="7"/>
      <c r="L6" s="11"/>
      <c r="M6" s="7"/>
      <c r="N6" s="11"/>
      <c r="O6" s="7"/>
      <c r="P6" s="11"/>
      <c r="Q6" s="7"/>
      <c r="R6" s="9">
        <v>45761</v>
      </c>
      <c r="S6" s="7">
        <v>250000</v>
      </c>
      <c r="T6" s="9">
        <v>45773</v>
      </c>
      <c r="U6" s="7">
        <v>600000</v>
      </c>
      <c r="V6" s="9">
        <v>45787</v>
      </c>
      <c r="W6" s="7">
        <v>1000000</v>
      </c>
      <c r="X6" s="9">
        <v>45801</v>
      </c>
      <c r="Y6" s="7">
        <v>1050000</v>
      </c>
      <c r="Z6" s="9">
        <v>45817</v>
      </c>
      <c r="AA6" s="7">
        <v>1000000</v>
      </c>
      <c r="AB6" s="9">
        <v>45829</v>
      </c>
      <c r="AC6" s="7">
        <v>200000</v>
      </c>
      <c r="AD6" s="9">
        <v>45842</v>
      </c>
      <c r="AE6" s="7">
        <v>1030000</v>
      </c>
      <c r="AF6" s="9">
        <v>45857</v>
      </c>
      <c r="AG6" s="7">
        <v>1490000</v>
      </c>
      <c r="AH6" s="9">
        <v>45871</v>
      </c>
      <c r="AI6" s="7">
        <v>1030000</v>
      </c>
      <c r="AJ6" s="9">
        <v>45885</v>
      </c>
      <c r="AK6" s="7">
        <v>1150000</v>
      </c>
      <c r="AL6" s="9">
        <v>45899</v>
      </c>
      <c r="AM6" s="7">
        <v>1200000</v>
      </c>
      <c r="AN6" s="9">
        <v>45913</v>
      </c>
      <c r="AO6" s="7">
        <v>1100000</v>
      </c>
      <c r="AP6" s="9">
        <v>45927</v>
      </c>
      <c r="AQ6" s="7">
        <v>1600000</v>
      </c>
      <c r="AR6" s="9">
        <v>45941</v>
      </c>
      <c r="AS6" s="7">
        <v>700000</v>
      </c>
      <c r="AT6" s="9">
        <v>45955</v>
      </c>
      <c r="AU6" s="20">
        <v>870000</v>
      </c>
      <c r="AV6" s="9">
        <v>45968</v>
      </c>
      <c r="AW6" s="7">
        <v>830000</v>
      </c>
      <c r="AX6" s="9">
        <v>45983</v>
      </c>
      <c r="AY6" s="7">
        <v>920000</v>
      </c>
      <c r="AZ6" s="9">
        <v>45997</v>
      </c>
      <c r="BA6" s="7">
        <v>960000</v>
      </c>
      <c r="BB6" s="9">
        <v>46010</v>
      </c>
      <c r="BC6" s="20">
        <v>820000</v>
      </c>
    </row>
    <row r="7" spans="1:55" s="6" customFormat="1">
      <c r="A7" s="6">
        <f>+A6+1</f>
        <v>6</v>
      </c>
      <c r="B7" s="4" t="s">
        <v>7</v>
      </c>
      <c r="C7" s="5">
        <v>5972573</v>
      </c>
      <c r="D7" s="6" t="s">
        <v>39</v>
      </c>
      <c r="E7" s="6" t="s">
        <v>40</v>
      </c>
      <c r="F7" s="5" t="s">
        <v>15</v>
      </c>
      <c r="G7" s="11">
        <v>45751</v>
      </c>
      <c r="H7" s="11"/>
      <c r="I7" s="10"/>
      <c r="J7" s="5"/>
      <c r="K7" s="10"/>
      <c r="L7" s="11"/>
      <c r="M7" s="10"/>
      <c r="N7" s="9"/>
      <c r="O7" s="10"/>
      <c r="P7" s="9"/>
      <c r="Q7" s="10"/>
      <c r="R7" s="9"/>
      <c r="S7" s="10"/>
      <c r="T7" s="9">
        <v>45773</v>
      </c>
      <c r="U7" s="10">
        <v>600000</v>
      </c>
      <c r="V7" s="9">
        <v>45787</v>
      </c>
      <c r="W7" s="10">
        <v>1600000</v>
      </c>
      <c r="X7" s="9">
        <v>45801</v>
      </c>
      <c r="Y7" s="10">
        <v>1500000</v>
      </c>
      <c r="Z7" s="9">
        <v>45817</v>
      </c>
      <c r="AA7" s="10">
        <v>1400000</v>
      </c>
      <c r="AB7" s="9">
        <v>45829</v>
      </c>
      <c r="AC7" s="10">
        <v>1350000</v>
      </c>
      <c r="AD7" s="9">
        <v>45842</v>
      </c>
      <c r="AE7" s="10">
        <v>1000000</v>
      </c>
      <c r="AF7" s="9">
        <v>45857</v>
      </c>
      <c r="AG7" s="10">
        <v>840000</v>
      </c>
      <c r="AH7" s="9">
        <v>45871</v>
      </c>
      <c r="AI7" s="10">
        <v>1250000</v>
      </c>
      <c r="AJ7" s="9">
        <v>45885</v>
      </c>
      <c r="AK7" s="10">
        <v>1180000</v>
      </c>
      <c r="AL7" s="9">
        <v>45899</v>
      </c>
      <c r="AM7" s="10">
        <v>1200000</v>
      </c>
      <c r="AN7" s="9">
        <v>45913</v>
      </c>
      <c r="AO7" s="10">
        <v>1000000</v>
      </c>
      <c r="AP7" s="9">
        <v>45927</v>
      </c>
      <c r="AQ7" s="10">
        <v>1650000</v>
      </c>
      <c r="AR7" s="9">
        <v>45941</v>
      </c>
      <c r="AS7" s="10">
        <v>1200000</v>
      </c>
      <c r="AT7" s="9">
        <v>45955</v>
      </c>
      <c r="AU7" s="20">
        <v>1400000</v>
      </c>
      <c r="AV7" s="9">
        <v>45968</v>
      </c>
      <c r="AW7" s="10">
        <v>1450000</v>
      </c>
      <c r="AX7" s="9">
        <v>45983</v>
      </c>
      <c r="AY7" s="10">
        <v>1050000</v>
      </c>
      <c r="AZ7" s="9">
        <v>45997</v>
      </c>
      <c r="BA7" s="10">
        <v>1520000</v>
      </c>
      <c r="BB7" s="9"/>
      <c r="BC7" s="20"/>
    </row>
    <row r="8" spans="1:55" s="6" customFormat="1">
      <c r="A8" s="6">
        <f>+A7+1</f>
        <v>7</v>
      </c>
      <c r="B8" s="4" t="s">
        <v>7</v>
      </c>
      <c r="C8" s="5">
        <v>79860254</v>
      </c>
      <c r="D8" s="6" t="s">
        <v>31</v>
      </c>
      <c r="E8" s="6" t="s">
        <v>33</v>
      </c>
      <c r="F8" s="5" t="s">
        <v>9</v>
      </c>
      <c r="G8" s="11" t="s">
        <v>38</v>
      </c>
      <c r="H8" s="11"/>
      <c r="I8" s="7"/>
      <c r="J8" s="5"/>
      <c r="K8" s="7"/>
      <c r="L8" s="11"/>
      <c r="M8" s="7"/>
      <c r="N8" s="11"/>
      <c r="O8" s="7"/>
      <c r="P8" s="10"/>
      <c r="Q8" s="7"/>
      <c r="R8" s="9"/>
      <c r="S8" s="7"/>
      <c r="T8" s="9"/>
      <c r="U8" s="7"/>
      <c r="V8" s="9"/>
      <c r="W8" s="7"/>
      <c r="X8" s="9"/>
      <c r="Y8" s="7"/>
      <c r="Z8" s="9"/>
      <c r="AA8" s="7"/>
      <c r="AB8" s="9"/>
      <c r="AC8" s="7"/>
      <c r="AD8" s="9"/>
      <c r="AE8" s="7"/>
      <c r="AF8" s="9">
        <v>45857</v>
      </c>
      <c r="AG8" s="7">
        <v>1000000</v>
      </c>
      <c r="AH8" s="9">
        <v>45871</v>
      </c>
      <c r="AI8" s="7">
        <v>910000</v>
      </c>
      <c r="AJ8" s="9">
        <v>45885</v>
      </c>
      <c r="AK8" s="7">
        <v>890000</v>
      </c>
      <c r="AL8" s="9">
        <v>45899</v>
      </c>
      <c r="AM8" s="7">
        <v>800000</v>
      </c>
      <c r="AN8" s="9">
        <v>45913</v>
      </c>
      <c r="AO8" s="7">
        <v>900000</v>
      </c>
      <c r="AP8" s="9">
        <v>45927</v>
      </c>
      <c r="AQ8" s="7">
        <v>900000</v>
      </c>
      <c r="AR8" s="9">
        <v>45941</v>
      </c>
      <c r="AS8" s="7">
        <v>800000</v>
      </c>
      <c r="AT8" s="9">
        <v>45955</v>
      </c>
      <c r="AU8" s="20">
        <v>900000</v>
      </c>
      <c r="AV8" s="9">
        <v>45968</v>
      </c>
      <c r="AW8" s="7">
        <v>900000</v>
      </c>
      <c r="AX8" s="9">
        <v>45983</v>
      </c>
      <c r="AY8" s="7">
        <v>900000</v>
      </c>
      <c r="AZ8" s="9">
        <v>45997</v>
      </c>
      <c r="BA8" s="7">
        <v>900000</v>
      </c>
      <c r="BB8" s="9">
        <v>46010</v>
      </c>
      <c r="BC8" s="20">
        <v>1000000</v>
      </c>
    </row>
    <row r="9" spans="1:55" s="6" customFormat="1" ht="14.25" customHeight="1">
      <c r="A9" s="6">
        <f>+A8+1</f>
        <v>8</v>
      </c>
      <c r="B9" s="4" t="s">
        <v>7</v>
      </c>
      <c r="C9" s="5">
        <v>1093140341</v>
      </c>
      <c r="D9" s="6" t="s">
        <v>16</v>
      </c>
      <c r="E9" s="6" t="s">
        <v>18</v>
      </c>
      <c r="F9" s="5" t="s">
        <v>9</v>
      </c>
      <c r="G9" s="11">
        <v>45691</v>
      </c>
      <c r="H9" s="11"/>
      <c r="I9" s="10"/>
      <c r="J9" s="8">
        <v>45702</v>
      </c>
      <c r="K9" s="10">
        <v>400000</v>
      </c>
      <c r="L9" s="8">
        <v>45717</v>
      </c>
      <c r="M9" s="10">
        <v>1000000</v>
      </c>
      <c r="N9" s="8">
        <v>45731</v>
      </c>
      <c r="O9" s="10">
        <v>1000000</v>
      </c>
      <c r="P9" s="8">
        <v>45745</v>
      </c>
      <c r="Q9" s="10">
        <v>1100000</v>
      </c>
      <c r="R9" s="9">
        <v>45761</v>
      </c>
      <c r="S9" s="10">
        <v>1500000</v>
      </c>
      <c r="T9" s="9">
        <v>45773</v>
      </c>
      <c r="U9" s="10">
        <v>400000</v>
      </c>
      <c r="V9" s="9">
        <v>45787</v>
      </c>
      <c r="W9" s="10">
        <v>2000000</v>
      </c>
      <c r="X9" s="9">
        <v>45801</v>
      </c>
      <c r="Y9" s="10">
        <v>1400000</v>
      </c>
      <c r="Z9" s="9">
        <v>45817</v>
      </c>
      <c r="AA9" s="10">
        <v>1500000</v>
      </c>
      <c r="AB9" s="9">
        <v>45829</v>
      </c>
      <c r="AC9" s="10">
        <v>2100000</v>
      </c>
      <c r="AD9" s="9">
        <v>45842</v>
      </c>
      <c r="AE9" s="10">
        <v>900000</v>
      </c>
      <c r="AF9" s="9">
        <v>45857</v>
      </c>
      <c r="AG9" s="10">
        <v>3000000</v>
      </c>
      <c r="AH9" s="9">
        <v>45871</v>
      </c>
      <c r="AI9" s="10">
        <v>1120000</v>
      </c>
      <c r="AJ9" s="9">
        <v>45885</v>
      </c>
      <c r="AK9" s="10">
        <v>1800000</v>
      </c>
      <c r="AL9" s="9">
        <v>45899</v>
      </c>
      <c r="AM9" s="10">
        <v>1000000</v>
      </c>
      <c r="AN9" s="9">
        <v>45913</v>
      </c>
      <c r="AO9" s="10">
        <v>900000</v>
      </c>
      <c r="AP9" s="9">
        <v>45927</v>
      </c>
      <c r="AQ9" s="10">
        <v>1100000</v>
      </c>
      <c r="AR9" s="9">
        <v>45941</v>
      </c>
      <c r="AS9" s="10">
        <v>700000</v>
      </c>
      <c r="AT9" s="9">
        <v>45955</v>
      </c>
      <c r="AU9" s="20">
        <v>900000</v>
      </c>
      <c r="AV9" s="9">
        <v>45968</v>
      </c>
      <c r="AW9" s="10">
        <v>1500000</v>
      </c>
      <c r="AX9" s="9">
        <v>45983</v>
      </c>
      <c r="AY9" s="10">
        <v>2000000</v>
      </c>
      <c r="AZ9" s="9">
        <v>45997</v>
      </c>
      <c r="BA9" s="10">
        <v>1600000</v>
      </c>
      <c r="BB9" s="9">
        <v>46010</v>
      </c>
      <c r="BC9" s="20">
        <v>3000000</v>
      </c>
    </row>
    <row r="10" spans="1:55" s="6" customFormat="1">
      <c r="A10" s="6">
        <f>+A9+1</f>
        <v>9</v>
      </c>
      <c r="B10" s="4" t="s">
        <v>7</v>
      </c>
      <c r="C10" s="5">
        <v>1093140874</v>
      </c>
      <c r="D10" s="6" t="s">
        <v>16</v>
      </c>
      <c r="E10" s="6" t="s">
        <v>17</v>
      </c>
      <c r="F10" s="5" t="s">
        <v>9</v>
      </c>
      <c r="G10" s="11">
        <v>45691</v>
      </c>
      <c r="H10" s="11"/>
      <c r="I10" s="10"/>
      <c r="J10" s="8">
        <v>45702</v>
      </c>
      <c r="K10" s="10">
        <v>400000</v>
      </c>
      <c r="L10" s="8">
        <v>45717</v>
      </c>
      <c r="M10" s="10">
        <v>1000000</v>
      </c>
      <c r="N10" s="8">
        <v>45731</v>
      </c>
      <c r="O10" s="10">
        <v>1000000</v>
      </c>
      <c r="P10" s="8">
        <v>45745</v>
      </c>
      <c r="Q10" s="10">
        <v>1100000</v>
      </c>
      <c r="R10" s="9">
        <v>45761</v>
      </c>
      <c r="S10" s="10">
        <v>1000000</v>
      </c>
      <c r="T10" s="9">
        <v>45773</v>
      </c>
      <c r="U10" s="10">
        <v>800000</v>
      </c>
      <c r="V10" s="9">
        <v>45787</v>
      </c>
      <c r="W10" s="10">
        <v>2200000</v>
      </c>
      <c r="X10" s="9">
        <v>45801</v>
      </c>
      <c r="Y10" s="10">
        <v>1700000</v>
      </c>
      <c r="Z10" s="9">
        <v>45817</v>
      </c>
      <c r="AA10" s="10">
        <v>1330000</v>
      </c>
      <c r="AB10" s="9">
        <v>45829</v>
      </c>
      <c r="AC10" s="10">
        <v>1470000</v>
      </c>
      <c r="AD10" s="9">
        <v>45842</v>
      </c>
      <c r="AE10" s="10">
        <v>1330000</v>
      </c>
      <c r="AF10" s="9">
        <v>45857</v>
      </c>
      <c r="AG10" s="10">
        <v>1000000</v>
      </c>
      <c r="AH10" s="9">
        <v>45871</v>
      </c>
      <c r="AI10" s="10">
        <v>1900000</v>
      </c>
      <c r="AJ10" s="9">
        <v>45885</v>
      </c>
      <c r="AK10" s="10">
        <v>2500000</v>
      </c>
      <c r="AL10" s="9">
        <v>45899</v>
      </c>
      <c r="AM10" s="10">
        <v>1500000</v>
      </c>
      <c r="AN10" s="9">
        <v>45913</v>
      </c>
      <c r="AO10" s="10">
        <v>1000000</v>
      </c>
      <c r="AP10" s="9">
        <v>45927</v>
      </c>
      <c r="AQ10" s="10">
        <v>1100000</v>
      </c>
      <c r="AR10" s="9">
        <v>45941</v>
      </c>
      <c r="AS10" s="10">
        <v>800000</v>
      </c>
      <c r="AT10" s="9">
        <v>45955</v>
      </c>
      <c r="AU10" s="20">
        <v>900000</v>
      </c>
      <c r="AV10" s="9">
        <v>45968</v>
      </c>
      <c r="AW10" s="10">
        <v>1500000</v>
      </c>
      <c r="AX10" s="9">
        <v>45983</v>
      </c>
      <c r="AY10" s="10">
        <v>1000000</v>
      </c>
      <c r="AZ10" s="9">
        <v>45997</v>
      </c>
      <c r="BA10" s="10">
        <v>700000</v>
      </c>
      <c r="BB10" s="9">
        <v>46010</v>
      </c>
      <c r="BC10" s="20">
        <v>3000000</v>
      </c>
    </row>
    <row r="11" spans="1:55" s="6" customFormat="1">
      <c r="A11" s="6">
        <f>+A10+1</f>
        <v>10</v>
      </c>
      <c r="B11" s="4" t="s">
        <v>7</v>
      </c>
      <c r="C11" s="5">
        <v>1127605997</v>
      </c>
      <c r="D11" s="6" t="s">
        <v>37</v>
      </c>
      <c r="E11" s="6" t="s">
        <v>36</v>
      </c>
      <c r="F11" s="5" t="s">
        <v>9</v>
      </c>
      <c r="G11" s="11">
        <v>45749</v>
      </c>
      <c r="H11" s="11"/>
      <c r="I11" s="10"/>
      <c r="J11" s="5"/>
      <c r="K11" s="10"/>
      <c r="L11" s="11"/>
      <c r="M11" s="10"/>
      <c r="N11" s="11"/>
      <c r="O11" s="10"/>
      <c r="P11" s="10"/>
      <c r="Q11" s="10"/>
      <c r="R11" s="9">
        <v>45761</v>
      </c>
      <c r="S11" s="10">
        <v>200000</v>
      </c>
      <c r="T11" s="9">
        <v>45773</v>
      </c>
      <c r="U11" s="10">
        <v>300000</v>
      </c>
      <c r="V11" s="9">
        <v>45787</v>
      </c>
      <c r="W11" s="10">
        <v>1500000</v>
      </c>
      <c r="X11" s="9"/>
      <c r="Y11" s="10"/>
      <c r="Z11" s="9"/>
      <c r="AA11" s="10"/>
      <c r="AB11" s="9"/>
      <c r="AC11" s="10"/>
      <c r="AD11" s="9"/>
      <c r="AE11" s="10"/>
      <c r="AF11" s="9"/>
      <c r="AG11" s="14"/>
      <c r="AH11" s="9"/>
      <c r="AI11" s="10"/>
      <c r="AJ11" s="9"/>
      <c r="AK11" s="10"/>
      <c r="AL11" s="9"/>
      <c r="AM11" s="10"/>
      <c r="AN11" s="9"/>
      <c r="AO11" s="10"/>
      <c r="AP11" s="9"/>
      <c r="AQ11" s="10"/>
      <c r="AR11" s="9"/>
      <c r="AS11" s="10"/>
      <c r="AT11" s="9"/>
      <c r="AU11" s="20"/>
      <c r="AV11" s="9"/>
      <c r="AW11" s="10"/>
      <c r="AX11" s="9"/>
      <c r="AY11" s="10"/>
      <c r="AZ11" s="9"/>
      <c r="BA11" s="10"/>
      <c r="BB11" s="9"/>
      <c r="BC11" s="20"/>
    </row>
    <row r="12" spans="1:55" s="6" customFormat="1">
      <c r="A12" s="6">
        <f>+A11+1</f>
        <v>11</v>
      </c>
      <c r="B12" s="4" t="s">
        <v>7</v>
      </c>
      <c r="C12" s="5">
        <v>1014236417</v>
      </c>
      <c r="D12" s="6" t="s">
        <v>19</v>
      </c>
      <c r="E12" s="6" t="s">
        <v>20</v>
      </c>
      <c r="F12" s="5" t="s">
        <v>9</v>
      </c>
      <c r="G12" s="11">
        <v>45784</v>
      </c>
      <c r="H12" s="11"/>
      <c r="I12" s="7"/>
      <c r="J12" s="5"/>
      <c r="K12" s="7"/>
      <c r="L12" s="11"/>
      <c r="M12" s="7"/>
      <c r="N12" s="8"/>
      <c r="O12" s="7"/>
      <c r="P12" s="8"/>
      <c r="Q12" s="7"/>
      <c r="R12" s="8"/>
      <c r="S12" s="7"/>
      <c r="T12" s="8"/>
      <c r="U12" s="7"/>
      <c r="V12" s="8"/>
      <c r="W12" s="7"/>
      <c r="X12" s="9">
        <v>45801</v>
      </c>
      <c r="Y12" s="7">
        <v>400000</v>
      </c>
      <c r="Z12" s="9">
        <v>45817</v>
      </c>
      <c r="AA12" s="7">
        <v>800000</v>
      </c>
      <c r="AB12" s="9">
        <v>45829</v>
      </c>
      <c r="AC12" s="7">
        <v>700000</v>
      </c>
      <c r="AD12" s="9">
        <v>45842</v>
      </c>
      <c r="AE12" s="7">
        <v>200000</v>
      </c>
      <c r="AF12" s="9">
        <v>45857</v>
      </c>
      <c r="AG12" s="10">
        <v>740000</v>
      </c>
      <c r="AH12" s="9">
        <v>45871</v>
      </c>
      <c r="AI12" s="10">
        <v>1000000</v>
      </c>
      <c r="AJ12" s="9">
        <v>45885</v>
      </c>
      <c r="AK12" s="10">
        <v>810000</v>
      </c>
      <c r="AL12" s="9">
        <v>45899</v>
      </c>
      <c r="AM12" s="7">
        <v>700000</v>
      </c>
      <c r="AN12" s="9">
        <v>45913</v>
      </c>
      <c r="AO12" s="10">
        <v>800000</v>
      </c>
      <c r="AP12" s="9">
        <v>45927</v>
      </c>
      <c r="AQ12" s="10">
        <v>600000</v>
      </c>
      <c r="AR12" s="9">
        <v>45941</v>
      </c>
      <c r="AS12" s="7">
        <v>350000</v>
      </c>
      <c r="AT12" s="9">
        <v>45955</v>
      </c>
      <c r="AU12" s="20">
        <v>500000</v>
      </c>
      <c r="AV12" s="9">
        <v>45968</v>
      </c>
      <c r="AW12" s="7">
        <v>750000</v>
      </c>
      <c r="AX12" s="9">
        <v>45983</v>
      </c>
      <c r="AY12" s="10">
        <v>1000000</v>
      </c>
      <c r="AZ12" s="9">
        <v>45997</v>
      </c>
      <c r="BA12" s="7">
        <v>680000</v>
      </c>
      <c r="BB12" s="9">
        <v>46010</v>
      </c>
      <c r="BC12" s="20">
        <v>600000</v>
      </c>
    </row>
    <row r="13" spans="1:55" s="23" customFormat="1">
      <c r="A13" s="23">
        <v>12</v>
      </c>
      <c r="B13" s="24" t="s">
        <v>7</v>
      </c>
      <c r="C13" s="25">
        <v>1073235516</v>
      </c>
      <c r="D13" s="23" t="s">
        <v>80</v>
      </c>
      <c r="E13" s="23" t="s">
        <v>79</v>
      </c>
      <c r="F13" s="25" t="s">
        <v>9</v>
      </c>
      <c r="G13" s="26">
        <v>45862</v>
      </c>
      <c r="H13" s="26"/>
      <c r="I13" s="27"/>
      <c r="J13" s="25"/>
      <c r="K13" s="28"/>
      <c r="L13" s="26"/>
      <c r="M13" s="28"/>
      <c r="N13" s="26"/>
      <c r="O13" s="29"/>
      <c r="P13" s="27"/>
      <c r="Q13" s="28"/>
      <c r="R13" s="26"/>
      <c r="S13" s="29"/>
      <c r="T13" s="26"/>
      <c r="U13" s="27"/>
      <c r="V13" s="26"/>
      <c r="W13" s="27"/>
      <c r="X13" s="26"/>
      <c r="Y13" s="27"/>
      <c r="Z13" s="26"/>
      <c r="AA13" s="27"/>
      <c r="AB13" s="26"/>
      <c r="AC13" s="26"/>
      <c r="AD13" s="26"/>
      <c r="AE13" s="26"/>
      <c r="AF13" s="26"/>
      <c r="AG13" s="26"/>
      <c r="AH13" s="26"/>
      <c r="AI13" s="30"/>
      <c r="AJ13" s="26">
        <v>45885</v>
      </c>
      <c r="AK13" s="30">
        <v>2000000</v>
      </c>
      <c r="AL13" s="26">
        <v>45899</v>
      </c>
      <c r="AM13" s="30">
        <v>1500000</v>
      </c>
      <c r="AN13" s="26">
        <v>45913</v>
      </c>
      <c r="AO13" s="30">
        <v>1000000</v>
      </c>
      <c r="AP13" s="26">
        <v>45927</v>
      </c>
      <c r="AQ13" s="30">
        <v>1400000</v>
      </c>
      <c r="AR13" s="26">
        <v>45941</v>
      </c>
      <c r="AS13" s="30">
        <v>1200000</v>
      </c>
      <c r="AT13" s="9"/>
      <c r="AU13" s="31"/>
      <c r="AV13" s="9"/>
      <c r="AW13" s="30"/>
      <c r="AX13" s="9"/>
      <c r="AY13" s="30"/>
      <c r="AZ13" s="9">
        <v>45997</v>
      </c>
      <c r="BA13" s="30">
        <v>834000</v>
      </c>
      <c r="BB13" s="9"/>
      <c r="BC13" s="31"/>
    </row>
    <row r="14" spans="1:55" s="6" customFormat="1">
      <c r="A14" s="6">
        <v>13</v>
      </c>
      <c r="B14" s="4" t="s">
        <v>7</v>
      </c>
      <c r="C14" s="5">
        <v>17903443</v>
      </c>
      <c r="D14" s="6" t="s">
        <v>30</v>
      </c>
      <c r="E14" s="6" t="s">
        <v>32</v>
      </c>
      <c r="F14" s="5" t="s">
        <v>9</v>
      </c>
      <c r="G14" s="11">
        <v>45828</v>
      </c>
      <c r="H14" s="11"/>
      <c r="I14" s="10"/>
      <c r="J14" s="5"/>
      <c r="K14" s="10"/>
      <c r="L14" s="11"/>
      <c r="M14" s="10"/>
      <c r="N14" s="11"/>
      <c r="O14" s="10"/>
      <c r="P14" s="10"/>
      <c r="Q14" s="10"/>
      <c r="R14" s="9"/>
      <c r="S14" s="10"/>
      <c r="T14" s="9"/>
      <c r="U14" s="10"/>
      <c r="V14" s="9"/>
      <c r="W14" s="10"/>
      <c r="X14" s="9"/>
      <c r="Y14" s="10"/>
      <c r="Z14" s="9"/>
      <c r="AA14" s="10"/>
      <c r="AB14" s="9"/>
      <c r="AC14" s="10"/>
      <c r="AD14" s="9">
        <v>45842</v>
      </c>
      <c r="AE14" s="10">
        <v>400000</v>
      </c>
      <c r="AF14" s="9">
        <v>45857</v>
      </c>
      <c r="AG14" s="10">
        <v>1200000</v>
      </c>
      <c r="AH14" s="9">
        <v>45871</v>
      </c>
      <c r="AI14" s="10">
        <v>1030000</v>
      </c>
      <c r="AJ14" s="9">
        <v>45885</v>
      </c>
      <c r="AK14" s="10">
        <v>1250000</v>
      </c>
      <c r="AL14" s="9">
        <v>45899</v>
      </c>
      <c r="AM14" s="10">
        <v>1150000</v>
      </c>
      <c r="AN14" s="9">
        <v>45913</v>
      </c>
      <c r="AO14" s="10">
        <v>1000000</v>
      </c>
      <c r="AP14" s="9">
        <v>45927</v>
      </c>
      <c r="AQ14" s="10">
        <v>1480000</v>
      </c>
      <c r="AR14" s="9">
        <v>45941</v>
      </c>
      <c r="AS14" s="10">
        <v>800000</v>
      </c>
      <c r="AT14" s="9">
        <v>45955</v>
      </c>
      <c r="AU14" s="20">
        <v>1100000</v>
      </c>
      <c r="AV14" s="9">
        <v>45968</v>
      </c>
      <c r="AW14" s="10">
        <v>1300000</v>
      </c>
      <c r="AX14" s="9">
        <v>45983</v>
      </c>
      <c r="AY14" s="10">
        <v>1000000</v>
      </c>
      <c r="AZ14" s="9">
        <v>45997</v>
      </c>
      <c r="BA14" s="10">
        <v>1100000</v>
      </c>
      <c r="BB14" s="9">
        <v>46010</v>
      </c>
      <c r="BC14" s="20">
        <v>980000</v>
      </c>
    </row>
    <row r="15" spans="1:55" s="6" customFormat="1">
      <c r="A15" s="6">
        <f>+A14+1</f>
        <v>14</v>
      </c>
      <c r="B15" s="4" t="s">
        <v>7</v>
      </c>
      <c r="C15" s="5">
        <v>1069472188</v>
      </c>
      <c r="D15" s="6" t="s">
        <v>34</v>
      </c>
      <c r="E15" s="6" t="s">
        <v>35</v>
      </c>
      <c r="F15" s="5" t="s">
        <v>9</v>
      </c>
      <c r="G15" s="11">
        <v>45734</v>
      </c>
      <c r="H15" s="11"/>
      <c r="I15" s="10"/>
      <c r="J15" s="5"/>
      <c r="K15" s="10"/>
      <c r="L15" s="11"/>
      <c r="M15" s="10"/>
      <c r="N15" s="11"/>
      <c r="O15" s="10"/>
      <c r="Q15" s="10"/>
      <c r="R15" s="9">
        <v>45761</v>
      </c>
      <c r="S15" s="10">
        <v>1000000</v>
      </c>
      <c r="T15" s="9">
        <v>45773</v>
      </c>
      <c r="U15" s="10">
        <v>500000</v>
      </c>
      <c r="V15" s="9">
        <v>45787</v>
      </c>
      <c r="W15" s="10">
        <v>1100000</v>
      </c>
      <c r="X15" s="9">
        <v>45801</v>
      </c>
      <c r="Y15" s="10">
        <v>400000</v>
      </c>
      <c r="Z15" s="9">
        <v>45817</v>
      </c>
      <c r="AA15" s="10">
        <v>150000</v>
      </c>
      <c r="AB15" s="9"/>
      <c r="AC15" s="10"/>
      <c r="AD15" s="9"/>
      <c r="AE15" s="10"/>
      <c r="AF15" s="9"/>
      <c r="AG15" s="10"/>
      <c r="AH15" s="9"/>
      <c r="AI15" s="10"/>
      <c r="AJ15" s="9"/>
      <c r="AK15" s="10"/>
      <c r="AL15" s="9"/>
      <c r="AM15" s="10"/>
      <c r="AN15" s="9"/>
      <c r="AO15" s="10"/>
      <c r="AP15" s="9"/>
      <c r="AQ15" s="10"/>
      <c r="AR15" s="9"/>
      <c r="AS15" s="10"/>
      <c r="AT15" s="9"/>
      <c r="AU15" s="20"/>
      <c r="AV15" s="9"/>
      <c r="AW15" s="10"/>
      <c r="AX15" s="9"/>
      <c r="AY15" s="10"/>
      <c r="AZ15" s="9"/>
      <c r="BA15" s="10"/>
      <c r="BB15" s="9"/>
      <c r="BC15" s="20"/>
    </row>
    <row r="16" spans="1:55" s="6" customFormat="1">
      <c r="A16" s="6">
        <f>+A15+1</f>
        <v>15</v>
      </c>
      <c r="B16" s="4" t="s">
        <v>7</v>
      </c>
      <c r="C16" s="5">
        <v>79923866</v>
      </c>
      <c r="D16" s="6" t="s">
        <v>21</v>
      </c>
      <c r="E16" s="6" t="s">
        <v>22</v>
      </c>
      <c r="F16" s="5" t="s">
        <v>9</v>
      </c>
      <c r="G16" s="11">
        <v>45691</v>
      </c>
      <c r="H16" s="11"/>
      <c r="I16" s="10"/>
      <c r="J16" s="5"/>
      <c r="K16" s="10"/>
      <c r="L16" s="11"/>
      <c r="M16" s="10"/>
      <c r="N16" s="9">
        <v>45731</v>
      </c>
      <c r="O16" s="10">
        <v>1500000</v>
      </c>
      <c r="P16" s="8">
        <v>45745</v>
      </c>
      <c r="Q16" s="10">
        <v>2000000</v>
      </c>
      <c r="R16" s="9">
        <v>45761</v>
      </c>
      <c r="S16" s="10">
        <v>1000000</v>
      </c>
      <c r="T16" s="9">
        <v>45773</v>
      </c>
      <c r="U16" s="10">
        <v>400000</v>
      </c>
      <c r="V16" s="9">
        <v>45787</v>
      </c>
      <c r="W16" s="10">
        <v>2300000</v>
      </c>
      <c r="X16" s="9">
        <v>45801</v>
      </c>
      <c r="Y16" s="10">
        <v>1600000</v>
      </c>
      <c r="Z16" s="9">
        <v>45817</v>
      </c>
      <c r="AA16" s="10">
        <v>1800000</v>
      </c>
      <c r="AB16" s="9">
        <v>45829</v>
      </c>
      <c r="AC16" s="10">
        <v>1800000</v>
      </c>
      <c r="AD16" s="9">
        <v>45842</v>
      </c>
      <c r="AE16" s="10">
        <v>1600000</v>
      </c>
      <c r="AF16" s="9">
        <v>45857</v>
      </c>
      <c r="AG16" s="10">
        <v>2500000</v>
      </c>
      <c r="AH16" s="9">
        <v>45871</v>
      </c>
      <c r="AI16" s="10">
        <v>2000000</v>
      </c>
      <c r="AJ16" s="9">
        <v>45885</v>
      </c>
      <c r="AK16" s="10">
        <v>500000</v>
      </c>
      <c r="AL16" s="9">
        <v>45899</v>
      </c>
      <c r="AM16" s="10">
        <v>1600000</v>
      </c>
      <c r="AN16" s="9">
        <v>45913</v>
      </c>
      <c r="AO16" s="10">
        <v>700000</v>
      </c>
      <c r="AP16" s="9">
        <v>45927</v>
      </c>
      <c r="AQ16" s="10">
        <v>1600000</v>
      </c>
      <c r="AR16" s="9">
        <v>45941</v>
      </c>
      <c r="AS16" s="10">
        <v>700000</v>
      </c>
      <c r="AT16" s="9">
        <v>45955</v>
      </c>
      <c r="AU16" s="20">
        <v>1150000</v>
      </c>
      <c r="AV16" s="9">
        <v>45968</v>
      </c>
      <c r="AW16" s="10">
        <v>2200000</v>
      </c>
      <c r="AX16" s="9">
        <v>45983</v>
      </c>
      <c r="AY16" s="10">
        <v>300000</v>
      </c>
      <c r="AZ16" s="9">
        <v>45997</v>
      </c>
      <c r="BA16" s="10">
        <v>1500000</v>
      </c>
      <c r="BB16" s="9">
        <v>46010</v>
      </c>
      <c r="BC16" s="20">
        <v>2000000</v>
      </c>
    </row>
    <row r="17" spans="1:55" s="36" customFormat="1">
      <c r="A17" s="23">
        <f>+A16+1</f>
        <v>16</v>
      </c>
      <c r="B17" s="24" t="s">
        <v>7</v>
      </c>
      <c r="C17" s="25">
        <v>1104410361</v>
      </c>
      <c r="D17" s="23" t="s">
        <v>27</v>
      </c>
      <c r="E17" s="23" t="s">
        <v>23</v>
      </c>
      <c r="F17" s="25" t="s">
        <v>9</v>
      </c>
      <c r="G17" s="26">
        <v>45813</v>
      </c>
      <c r="H17" s="26"/>
      <c r="I17" s="32"/>
      <c r="J17" s="33"/>
      <c r="K17" s="32"/>
      <c r="L17" s="34"/>
      <c r="M17" s="32"/>
      <c r="N17" s="35"/>
      <c r="O17" s="32"/>
      <c r="P17" s="27"/>
      <c r="Q17" s="28"/>
      <c r="R17" s="26"/>
      <c r="S17" s="29"/>
      <c r="T17" s="26"/>
      <c r="U17" s="27"/>
      <c r="V17" s="26"/>
      <c r="W17" s="27"/>
      <c r="X17" s="26"/>
      <c r="Y17" s="27"/>
      <c r="Z17" s="26"/>
      <c r="AA17" s="27"/>
      <c r="AB17" s="26">
        <v>45829</v>
      </c>
      <c r="AC17" s="27">
        <v>1000000</v>
      </c>
      <c r="AD17" s="26">
        <v>45842</v>
      </c>
      <c r="AE17" s="27">
        <v>1500000</v>
      </c>
      <c r="AF17" s="26">
        <v>45857</v>
      </c>
      <c r="AG17" s="27">
        <v>1800000</v>
      </c>
      <c r="AH17" s="26">
        <v>45871</v>
      </c>
      <c r="AI17" s="27">
        <v>1800000</v>
      </c>
      <c r="AJ17" s="26">
        <v>45885</v>
      </c>
      <c r="AK17" s="27">
        <v>1750000</v>
      </c>
      <c r="AL17" s="26">
        <v>45899</v>
      </c>
      <c r="AM17" s="30">
        <v>1500000</v>
      </c>
      <c r="AN17" s="26">
        <v>45913</v>
      </c>
      <c r="AO17" s="27">
        <v>1000000</v>
      </c>
      <c r="AP17" s="26">
        <v>45927</v>
      </c>
      <c r="AQ17" s="27">
        <v>1900000</v>
      </c>
      <c r="AR17" s="26">
        <v>45941</v>
      </c>
      <c r="AS17" s="30">
        <v>1200000</v>
      </c>
      <c r="AT17" s="9">
        <v>45955</v>
      </c>
      <c r="AU17" s="31">
        <v>1000000</v>
      </c>
      <c r="AV17" s="9">
        <v>45968</v>
      </c>
      <c r="AW17" s="30">
        <v>1000000</v>
      </c>
      <c r="AX17" s="9">
        <v>45983</v>
      </c>
      <c r="AY17" s="27">
        <v>1500000</v>
      </c>
      <c r="AZ17" s="9">
        <v>45997</v>
      </c>
      <c r="BA17" s="10">
        <v>1000000</v>
      </c>
      <c r="BB17" s="9">
        <v>46010</v>
      </c>
      <c r="BC17" s="31">
        <v>600000</v>
      </c>
    </row>
    <row r="18" spans="1:55">
      <c r="A18" s="6">
        <v>17</v>
      </c>
      <c r="B18" s="4" t="s">
        <v>7</v>
      </c>
      <c r="C18" s="5">
        <v>79564910</v>
      </c>
      <c r="D18" s="6" t="s">
        <v>70</v>
      </c>
      <c r="E18" s="6" t="s">
        <v>71</v>
      </c>
      <c r="F18" s="5" t="s">
        <v>15</v>
      </c>
      <c r="G18" s="11">
        <v>45846</v>
      </c>
      <c r="H18" s="17"/>
      <c r="I18" s="13"/>
      <c r="J18" s="15"/>
      <c r="K18" s="16"/>
      <c r="L18" s="17"/>
      <c r="M18" s="16"/>
      <c r="N18" s="17"/>
      <c r="O18" s="18"/>
      <c r="P18" s="13"/>
      <c r="Q18" s="16"/>
      <c r="R18" s="19"/>
      <c r="S18" s="18"/>
      <c r="T18" s="19"/>
      <c r="U18" s="13"/>
      <c r="V18" s="19"/>
      <c r="W18" s="13"/>
      <c r="X18" s="19"/>
      <c r="Y18" s="13"/>
      <c r="Z18" s="19"/>
      <c r="AA18" s="13"/>
      <c r="AB18" s="9"/>
      <c r="AC18" s="10"/>
      <c r="AD18" s="9"/>
      <c r="AE18" s="10"/>
      <c r="AF18" s="9"/>
      <c r="AG18" s="10"/>
      <c r="AH18" s="9"/>
      <c r="AI18" s="10"/>
      <c r="AJ18" s="9">
        <v>45885</v>
      </c>
      <c r="AK18" s="10">
        <v>200000</v>
      </c>
      <c r="AL18" s="9">
        <v>45899</v>
      </c>
      <c r="AM18" s="10"/>
      <c r="AN18" s="9"/>
      <c r="AO18" s="10"/>
      <c r="AP18" s="9"/>
      <c r="AQ18" s="10"/>
      <c r="AR18" s="9"/>
      <c r="AS18" s="10"/>
      <c r="AT18" s="9"/>
      <c r="AU18" s="22"/>
      <c r="AV18" s="9"/>
      <c r="AW18" s="10"/>
      <c r="AX18" s="9"/>
      <c r="AY18" s="10"/>
      <c r="AZ18" s="9"/>
      <c r="BA18" s="10"/>
      <c r="BB18" s="9"/>
      <c r="BC18" s="22"/>
    </row>
    <row r="23" spans="1:55">
      <c r="AC23" s="9"/>
    </row>
    <row r="25" spans="1:55">
      <c r="AC25" s="9"/>
    </row>
  </sheetData>
  <sortState xmlns:xlrd2="http://schemas.microsoft.com/office/spreadsheetml/2017/richdata2" ref="D2:D12">
    <sortCondition ref="D2:D12"/>
  </sortState>
  <phoneticPr fontId="6" type="noConversion"/>
  <conditionalFormatting sqref="C2:C16">
    <cfRule type="duplicateValues" dxfId="2" priority="6"/>
  </conditionalFormatting>
  <conditionalFormatting sqref="C17">
    <cfRule type="duplicateValues" dxfId="1" priority="2"/>
  </conditionalFormatting>
  <conditionalFormatting sqref="C1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E76A65B371C43A74152DF209BEBD5" ma:contentTypeVersion="11" ma:contentTypeDescription="Create a new document." ma:contentTypeScope="" ma:versionID="1a0b7e38d4e87f88cf49da69e34185bb">
  <xsd:schema xmlns:xsd="http://www.w3.org/2001/XMLSchema" xmlns:xs="http://www.w3.org/2001/XMLSchema" xmlns:p="http://schemas.microsoft.com/office/2006/metadata/properties" xmlns:ns3="092425c2-01e9-4e52-a1c3-f20a8e43874e" xmlns:ns4="e5fe9108-cef7-4170-8c55-e0528326a459" targetNamespace="http://schemas.microsoft.com/office/2006/metadata/properties" ma:root="true" ma:fieldsID="e4a3b061b40a755d66a2239926d78a67" ns3:_="" ns4:_="">
    <xsd:import namespace="092425c2-01e9-4e52-a1c3-f20a8e43874e"/>
    <xsd:import namespace="e5fe9108-cef7-4170-8c55-e0528326a4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25c2-01e9-4e52-a1c3-f20a8e438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e9108-cef7-4170-8c55-e0528326a4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2425c2-01e9-4e52-a1c3-f20a8e43874e" xsi:nil="true"/>
  </documentManagement>
</p:properties>
</file>

<file path=customXml/itemProps1.xml><?xml version="1.0" encoding="utf-8"?>
<ds:datastoreItem xmlns:ds="http://schemas.openxmlformats.org/officeDocument/2006/customXml" ds:itemID="{1C3E7CA4-1094-44C2-AF15-E0A680A0783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2425c2-01e9-4e52-a1c3-f20a8e43874e"/>
    <ds:schemaRef ds:uri="e5fe9108-cef7-4170-8c55-e0528326a45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D111CC-F00D-4618-868A-D06800DD72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66EE2A-AD7C-4FE6-972E-D29FD92F52B3}">
  <ds:schemaRefs>
    <ds:schemaRef ds:uri="http://schemas.microsoft.com/office/2006/metadata/properties"/>
    <ds:schemaRef ds:uri="http://www.w3.org/2000/xmlns/"/>
    <ds:schemaRef ds:uri="092425c2-01e9-4e52-a1c3-f20a8e43874e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BALLESTEROS OLARTE</dc:creator>
  <cp:lastModifiedBy>NICOLAS BALLESTEROS OLARTE</cp:lastModifiedBy>
  <dcterms:created xsi:type="dcterms:W3CDTF">2025-06-25T21:58:04Z</dcterms:created>
  <dcterms:modified xsi:type="dcterms:W3CDTF">2025-12-24T02:39:28Z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0x01010095FE76A65B371C43A74152DF209BEBD5</vt:lpwstr>
  </property>
</Properties>
</file>